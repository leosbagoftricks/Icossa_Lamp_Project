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A:\Fernekes Designs\Videos\Leo School Video Icosahedron LED Lamp\Technical\PCB Designs\Icossa Lamp Kicad\Icossa_Lamp_R3\"/>
    </mc:Choice>
  </mc:AlternateContent>
  <xr:revisionPtr revIDLastSave="0" documentId="13_ncr:1_{56A67374-E83B-4496-BF91-62AEB89D63D8}" xr6:coauthVersionLast="47" xr6:coauthVersionMax="47" xr10:uidLastSave="{00000000-0000-0000-0000-000000000000}"/>
  <bookViews>
    <workbookView xWindow="-28920" yWindow="-120" windowWidth="29040" windowHeight="15720" xr2:uid="{0BDE2580-746E-4A1C-AC0C-A5BA1EB499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" i="1" l="1"/>
  <c r="I16" i="1"/>
  <c r="I15" i="1"/>
  <c r="I13" i="1"/>
  <c r="I12" i="1"/>
  <c r="I11" i="1"/>
  <c r="I10" i="1"/>
  <c r="I9" i="1"/>
  <c r="I8" i="1"/>
  <c r="I7" i="1"/>
  <c r="I6" i="1"/>
  <c r="I5" i="1"/>
  <c r="I4" i="1"/>
  <c r="I3" i="1"/>
  <c r="I2" i="1"/>
  <c r="I23" i="1" s="1"/>
</calcChain>
</file>

<file path=xl/sharedStrings.xml><?xml version="1.0" encoding="utf-8"?>
<sst xmlns="http://schemas.openxmlformats.org/spreadsheetml/2006/main" count="86" uniqueCount="77">
  <si>
    <t>Part</t>
  </si>
  <si>
    <t>Designation</t>
  </si>
  <si>
    <t>Detail</t>
  </si>
  <si>
    <t>Package</t>
  </si>
  <si>
    <t>MFG</t>
  </si>
  <si>
    <t>Part Number</t>
  </si>
  <si>
    <t>Qty</t>
  </si>
  <si>
    <t>Price</t>
  </si>
  <si>
    <t>Extended</t>
  </si>
  <si>
    <t>MCU</t>
  </si>
  <si>
    <t>U2</t>
  </si>
  <si>
    <t>PIC 16F Micro 8-Bit 32MHz 14KB (8K x 14) FLASH 16-UQFN (4x4)</t>
  </si>
  <si>
    <t> 16-UQFN (4x4)</t>
  </si>
  <si>
    <t>Microchip</t>
  </si>
  <si>
    <t>PIC16F15325-I/JQ</t>
  </si>
  <si>
    <t>Voltage Reg 5V</t>
  </si>
  <si>
    <t>U1</t>
  </si>
  <si>
    <t>IC REG LINEAR 5V 100MA SOT-223-3</t>
  </si>
  <si>
    <t>SOT-223-3</t>
  </si>
  <si>
    <t>MCP1792T-5002H/DB</t>
  </si>
  <si>
    <t>Distance Sensor</t>
  </si>
  <si>
    <t>Laser Module</t>
  </si>
  <si>
    <t>VL53L0X I2C Time-of-Flight (ToF) Laser Ranging Sensor Module</t>
  </si>
  <si>
    <t>MODULE</t>
  </si>
  <si>
    <t>Generic</t>
  </si>
  <si>
    <t>GY-VL53L0XV2</t>
  </si>
  <si>
    <t>MOSFET- N-CH</t>
  </si>
  <si>
    <t>Q2</t>
  </si>
  <si>
    <t>N-Channel 60 V 6A (Ta) 1.2W (Ta) Surface Mount SOT-23F</t>
  </si>
  <si>
    <t>SOT-23</t>
  </si>
  <si>
    <t>MCC (Micro Commercial Components)</t>
  </si>
  <si>
    <t>SI2302-TP</t>
  </si>
  <si>
    <t>MOSFET- P-CH</t>
  </si>
  <si>
    <t>Q1</t>
  </si>
  <si>
    <t>MOSFET P-CHANNEL 60V 3.1A SOT23</t>
  </si>
  <si>
    <t>Taiwan Semiconductor Corporation</t>
  </si>
  <si>
    <t>TSM2309CX RFG</t>
  </si>
  <si>
    <t>Diode</t>
  </si>
  <si>
    <t>D1</t>
  </si>
  <si>
    <t>DIODE SCHOTTKY 60V 1A DO214AC</t>
  </si>
  <si>
    <t>DO-214AC </t>
  </si>
  <si>
    <t>SS16</t>
  </si>
  <si>
    <t>LED</t>
  </si>
  <si>
    <t>White LEDs</t>
  </si>
  <si>
    <t>LED  2700K 2.95V 65mA 120° 1411 (3528 Metric)</t>
  </si>
  <si>
    <t>Seoul Semiconductor Inc.</t>
  </si>
  <si>
    <t>S1W0-2835278003-0000003S-00005</t>
  </si>
  <si>
    <t xml:space="preserve">Resistor, Spar </t>
  </si>
  <si>
    <t>Spar Resistors</t>
  </si>
  <si>
    <t>RES 240 OHM 5% 1/4W 1206</t>
  </si>
  <si>
    <t>YAGEO</t>
  </si>
  <si>
    <t>RC1206JR-07240RL</t>
  </si>
  <si>
    <t>Bypass Capacitors</t>
  </si>
  <si>
    <t>C1,C3,C4,C5</t>
  </si>
  <si>
    <t>CAP CER 2.2UF 50V X7R 1206</t>
  </si>
  <si>
    <t>1206</t>
  </si>
  <si>
    <t>KEMET</t>
  </si>
  <si>
    <t>C1206C225K5RACTU</t>
  </si>
  <si>
    <t>Capacitor, bulk</t>
  </si>
  <si>
    <t>C2</t>
  </si>
  <si>
    <t>CAP ALUM 47UF 20% 50V SMD</t>
  </si>
  <si>
    <t>SMD</t>
  </si>
  <si>
    <t>Würth Elektronik</t>
  </si>
  <si>
    <t>865080645012</t>
  </si>
  <si>
    <t>Resistor</t>
  </si>
  <si>
    <t>R3,R4,R5</t>
  </si>
  <si>
    <t>Resistor, 120 Ohm, 5%  Chip</t>
  </si>
  <si>
    <t>0805</t>
  </si>
  <si>
    <t>RC0805JR-07120RL</t>
  </si>
  <si>
    <t>R1,R2,R6</t>
  </si>
  <si>
    <t>Resistor, 10k Ohm, 5%  Chip</t>
  </si>
  <si>
    <t>RC0805JR-0710KL</t>
  </si>
  <si>
    <t>PCB, Bare, 2 layer 1.6 mm thk</t>
  </si>
  <si>
    <t>Spar</t>
  </si>
  <si>
    <t>Hub, MASTER</t>
  </si>
  <si>
    <t>Hub, POWER</t>
  </si>
  <si>
    <t>TOTAL BOM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</si>
</sst>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sz val="9"/>
      <color rgb="FF444444"/>
      <name val="Roboto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/>
  </cellStyleXfs>
  <cellXfs count="16">
    <xf numFmtId="0" fontId="0" fillId="0" borderId="0" xfId="0"/>
    <xf numFmtId="0" fontId="3" fillId="0" borderId="1" xfId="2" applyFont="1" applyBorder="1"/>
    <xf numFmtId="0" fontId="3" fillId="0" borderId="0" xfId="2" applyFont="1" applyAlignment="1">
      <alignment horizontal="center"/>
    </xf>
    <xf numFmtId="0" fontId="3" fillId="0" borderId="2" xfId="2" applyFont="1" applyBorder="1" applyAlignment="1">
      <alignment horizontal="center"/>
    </xf>
    <xf numFmtId="49" fontId="3" fillId="0" borderId="2" xfId="2" applyNumberFormat="1" applyFont="1" applyBorder="1" applyAlignment="1">
      <alignment horizontal="center"/>
    </xf>
    <xf numFmtId="49" fontId="3" fillId="0" borderId="2" xfId="2" applyNumberFormat="1" applyFont="1" applyBorder="1" applyAlignment="1">
      <alignment horizontal="left"/>
    </xf>
    <xf numFmtId="164" fontId="3" fillId="0" borderId="2" xfId="2" applyNumberFormat="1" applyFont="1" applyBorder="1"/>
    <xf numFmtId="164" fontId="3" fillId="0" borderId="2" xfId="1" applyNumberFormat="1" applyFont="1" applyBorder="1"/>
    <xf numFmtId="0" fontId="3" fillId="0" borderId="2" xfId="2" applyFont="1" applyBorder="1"/>
    <xf numFmtId="0" fontId="4" fillId="0" borderId="2" xfId="2" applyFont="1" applyBorder="1" applyAlignment="1">
      <alignment horizontal="center"/>
    </xf>
    <xf numFmtId="0" fontId="4" fillId="0" borderId="2" xfId="2" applyFont="1" applyBorder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/>
    <xf numFmtId="49" fontId="5" fillId="0" borderId="0" xfId="0" applyNumberFormat="1" applyFont="1" applyAlignment="1">
      <alignment horizontal="center"/>
    </xf>
  </cellXfs>
  <cellStyles count="3">
    <cellStyle name="Currency" xfId="1" builtinId="4"/>
    <cellStyle name="Normal" xfId="0" builtinId="0"/>
    <cellStyle name="Normal 2" xfId="2" xr:uid="{4A6F249C-5ED1-42A5-83A3-517FB1A868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88D98-2DE3-4B28-B655-CC99AA2C68CB}">
  <dimension ref="A1:O23"/>
  <sheetViews>
    <sheetView tabSelected="1" workbookViewId="0">
      <selection activeCell="E18" sqref="E18"/>
    </sheetView>
  </sheetViews>
  <sheetFormatPr defaultRowHeight="15" x14ac:dyDescent="0.25"/>
  <cols>
    <col min="1" max="1" width="31.28515625" customWidth="1"/>
    <col min="2" max="2" width="16.42578125" customWidth="1"/>
    <col min="3" max="3" width="55.140625" customWidth="1"/>
    <col min="4" max="4" width="16.140625" style="11" customWidth="1"/>
    <col min="5" max="5" width="38.85546875" customWidth="1"/>
    <col min="6" max="6" width="32.85546875" style="12" customWidth="1"/>
    <col min="7" max="7" width="9.140625" style="13"/>
    <col min="8" max="8" width="11.7109375" style="14" customWidth="1"/>
    <col min="9" max="9" width="17" style="14" customWidth="1"/>
  </cols>
  <sheetData>
    <row r="1" spans="1:15" s="10" customFormat="1" x14ac:dyDescent="0.2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3" t="s">
        <v>6</v>
      </c>
      <c r="H1" s="6" t="s">
        <v>7</v>
      </c>
      <c r="I1" s="7" t="s">
        <v>8</v>
      </c>
      <c r="J1" s="8"/>
      <c r="K1" s="8"/>
      <c r="L1" s="8"/>
      <c r="M1" s="8"/>
      <c r="N1" s="8"/>
      <c r="O1" s="9"/>
    </row>
    <row r="2" spans="1:15" x14ac:dyDescent="0.25">
      <c r="A2" t="s">
        <v>9</v>
      </c>
      <c r="B2" t="s">
        <v>10</v>
      </c>
      <c r="C2" t="s">
        <v>11</v>
      </c>
      <c r="D2" s="11" t="s">
        <v>12</v>
      </c>
      <c r="E2" t="s">
        <v>13</v>
      </c>
      <c r="F2" s="12" t="s">
        <v>14</v>
      </c>
      <c r="G2" s="13">
        <v>1</v>
      </c>
      <c r="H2" s="14">
        <v>1.05</v>
      </c>
      <c r="I2" s="14">
        <f>H2*G2</f>
        <v>1.05</v>
      </c>
    </row>
    <row r="3" spans="1:15" x14ac:dyDescent="0.25">
      <c r="A3" t="s">
        <v>15</v>
      </c>
      <c r="B3" t="s">
        <v>16</v>
      </c>
      <c r="C3" t="s">
        <v>17</v>
      </c>
      <c r="D3" s="11" t="s">
        <v>18</v>
      </c>
      <c r="E3" t="s">
        <v>13</v>
      </c>
      <c r="F3" s="12" t="s">
        <v>19</v>
      </c>
      <c r="G3" s="13">
        <v>1</v>
      </c>
      <c r="H3" s="14">
        <v>0.38</v>
      </c>
      <c r="I3" s="14">
        <f t="shared" ref="I3:I17" si="0">H3*G3</f>
        <v>0.38</v>
      </c>
    </row>
    <row r="4" spans="1:15" x14ac:dyDescent="0.25">
      <c r="A4" t="s">
        <v>20</v>
      </c>
      <c r="B4" t="s">
        <v>21</v>
      </c>
      <c r="C4" t="s">
        <v>22</v>
      </c>
      <c r="D4" s="11" t="s">
        <v>23</v>
      </c>
      <c r="E4" t="s">
        <v>24</v>
      </c>
      <c r="F4" s="12" t="s">
        <v>25</v>
      </c>
      <c r="G4" s="13">
        <v>1</v>
      </c>
      <c r="H4" s="14">
        <v>1.63</v>
      </c>
      <c r="I4" s="14">
        <f t="shared" si="0"/>
        <v>1.63</v>
      </c>
    </row>
    <row r="5" spans="1:15" x14ac:dyDescent="0.25">
      <c r="A5" t="s">
        <v>26</v>
      </c>
      <c r="B5" t="s">
        <v>27</v>
      </c>
      <c r="C5" t="s">
        <v>28</v>
      </c>
      <c r="D5" s="11" t="s">
        <v>29</v>
      </c>
      <c r="E5" t="s">
        <v>30</v>
      </c>
      <c r="F5" s="12" t="s">
        <v>31</v>
      </c>
      <c r="G5" s="13">
        <v>1</v>
      </c>
      <c r="H5" s="14">
        <v>0.12</v>
      </c>
      <c r="I5" s="14">
        <f t="shared" si="0"/>
        <v>0.12</v>
      </c>
    </row>
    <row r="6" spans="1:15" x14ac:dyDescent="0.25">
      <c r="A6" t="s">
        <v>32</v>
      </c>
      <c r="B6" t="s">
        <v>33</v>
      </c>
      <c r="C6" t="s">
        <v>34</v>
      </c>
      <c r="D6" s="11" t="s">
        <v>29</v>
      </c>
      <c r="E6" t="s">
        <v>35</v>
      </c>
      <c r="F6" s="12" t="s">
        <v>36</v>
      </c>
      <c r="G6" s="13">
        <v>1</v>
      </c>
      <c r="H6" s="14">
        <v>0.25</v>
      </c>
      <c r="I6" s="14">
        <f t="shared" si="0"/>
        <v>0.25</v>
      </c>
    </row>
    <row r="7" spans="1:15" x14ac:dyDescent="0.25">
      <c r="A7" t="s">
        <v>37</v>
      </c>
      <c r="B7" t="s">
        <v>38</v>
      </c>
      <c r="C7" t="s">
        <v>39</v>
      </c>
      <c r="D7" s="15" t="s">
        <v>40</v>
      </c>
      <c r="E7" t="s">
        <v>35</v>
      </c>
      <c r="F7" s="12" t="s">
        <v>41</v>
      </c>
      <c r="G7" s="13">
        <v>2</v>
      </c>
      <c r="H7" s="14">
        <v>0.13</v>
      </c>
      <c r="I7" s="14">
        <f t="shared" si="0"/>
        <v>0.26</v>
      </c>
    </row>
    <row r="8" spans="1:15" x14ac:dyDescent="0.25">
      <c r="A8" t="s">
        <v>42</v>
      </c>
      <c r="B8" t="s">
        <v>43</v>
      </c>
      <c r="C8" t="s">
        <v>44</v>
      </c>
      <c r="D8" s="11">
        <v>3528</v>
      </c>
      <c r="E8" t="s">
        <v>45</v>
      </c>
      <c r="F8" s="12" t="s">
        <v>46</v>
      </c>
      <c r="G8" s="13">
        <v>360</v>
      </c>
      <c r="H8" s="14">
        <v>2.4E-2</v>
      </c>
      <c r="I8" s="14">
        <f t="shared" si="0"/>
        <v>8.64</v>
      </c>
    </row>
    <row r="9" spans="1:15" x14ac:dyDescent="0.25">
      <c r="A9" t="s">
        <v>47</v>
      </c>
      <c r="B9" t="s">
        <v>48</v>
      </c>
      <c r="C9" t="s">
        <v>49</v>
      </c>
      <c r="D9" s="11">
        <v>1206</v>
      </c>
      <c r="E9" t="s">
        <v>50</v>
      </c>
      <c r="F9" s="12" t="s">
        <v>51</v>
      </c>
      <c r="G9" s="13">
        <v>60</v>
      </c>
      <c r="H9" s="14">
        <v>0.1</v>
      </c>
      <c r="I9" s="14">
        <f t="shared" si="0"/>
        <v>6</v>
      </c>
    </row>
    <row r="10" spans="1:15" x14ac:dyDescent="0.25">
      <c r="A10" t="s">
        <v>52</v>
      </c>
      <c r="B10" t="s">
        <v>53</v>
      </c>
      <c r="C10" t="s">
        <v>54</v>
      </c>
      <c r="D10" s="11" t="s">
        <v>55</v>
      </c>
      <c r="E10" t="s">
        <v>56</v>
      </c>
      <c r="F10" s="12" t="s">
        <v>57</v>
      </c>
      <c r="G10" s="13">
        <v>4</v>
      </c>
      <c r="H10" s="14">
        <v>0.11</v>
      </c>
      <c r="I10" s="14">
        <f t="shared" si="0"/>
        <v>0.44</v>
      </c>
    </row>
    <row r="11" spans="1:15" x14ac:dyDescent="0.25">
      <c r="A11" t="s">
        <v>58</v>
      </c>
      <c r="B11" t="s">
        <v>59</v>
      </c>
      <c r="C11" t="s">
        <v>60</v>
      </c>
      <c r="D11" s="11" t="s">
        <v>61</v>
      </c>
      <c r="E11" t="s">
        <v>62</v>
      </c>
      <c r="F11" s="12" t="s">
        <v>63</v>
      </c>
      <c r="G11" s="13">
        <v>1</v>
      </c>
      <c r="H11" s="14">
        <v>0.28000000000000003</v>
      </c>
      <c r="I11" s="14">
        <f t="shared" si="0"/>
        <v>0.28000000000000003</v>
      </c>
    </row>
    <row r="12" spans="1:15" x14ac:dyDescent="0.25">
      <c r="A12" t="s">
        <v>64</v>
      </c>
      <c r="B12" t="s">
        <v>65</v>
      </c>
      <c r="C12" t="s">
        <v>66</v>
      </c>
      <c r="D12" s="11" t="s">
        <v>67</v>
      </c>
      <c r="E12" t="s">
        <v>50</v>
      </c>
      <c r="F12" s="12" t="s">
        <v>68</v>
      </c>
      <c r="G12" s="13">
        <v>3</v>
      </c>
      <c r="H12" s="14">
        <v>8.0000000000000002E-3</v>
      </c>
      <c r="I12" s="14">
        <f t="shared" si="0"/>
        <v>2.4E-2</v>
      </c>
    </row>
    <row r="13" spans="1:15" x14ac:dyDescent="0.25">
      <c r="A13" t="s">
        <v>64</v>
      </c>
      <c r="B13" t="s">
        <v>69</v>
      </c>
      <c r="C13" t="s">
        <v>70</v>
      </c>
      <c r="D13" s="11" t="s">
        <v>67</v>
      </c>
      <c r="E13" t="s">
        <v>50</v>
      </c>
      <c r="F13" s="12" t="s">
        <v>71</v>
      </c>
      <c r="G13" s="13">
        <v>3</v>
      </c>
      <c r="H13" s="14">
        <v>8.0000000000000002E-3</v>
      </c>
      <c r="I13" s="14">
        <f t="shared" si="0"/>
        <v>2.4E-2</v>
      </c>
    </row>
    <row r="15" spans="1:15" x14ac:dyDescent="0.25">
      <c r="A15" t="s">
        <v>72</v>
      </c>
      <c r="C15" t="s">
        <v>73</v>
      </c>
      <c r="G15" s="13">
        <v>30</v>
      </c>
      <c r="H15" s="14">
        <v>0.48</v>
      </c>
      <c r="I15" s="14">
        <f>H15*G15</f>
        <v>14.399999999999999</v>
      </c>
    </row>
    <row r="16" spans="1:15" x14ac:dyDescent="0.25">
      <c r="A16" t="s">
        <v>72</v>
      </c>
      <c r="C16" t="s">
        <v>74</v>
      </c>
      <c r="G16" s="13">
        <v>1</v>
      </c>
      <c r="H16" s="14">
        <v>0.4</v>
      </c>
      <c r="I16" s="14">
        <f>H16*G16</f>
        <v>0.4</v>
      </c>
    </row>
    <row r="17" spans="1:9" x14ac:dyDescent="0.25">
      <c r="A17" t="s">
        <v>72</v>
      </c>
      <c r="C17" t="s">
        <v>75</v>
      </c>
      <c r="G17" s="13">
        <v>11</v>
      </c>
      <c r="H17" s="14">
        <v>0.43</v>
      </c>
      <c r="I17" s="14">
        <f>H17*G17</f>
        <v>4.7299999999999995</v>
      </c>
    </row>
    <row r="23" spans="1:9" x14ac:dyDescent="0.25">
      <c r="F23" s="12" t="s">
        <v>76</v>
      </c>
      <c r="I23" s="14">
        <f>SUM(I2:I22)</f>
        <v>38.628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Leo</cp:lastModifiedBy>
  <dcterms:created xsi:type="dcterms:W3CDTF">2026-02-20T08:45:18Z</dcterms:created>
  <dcterms:modified xsi:type="dcterms:W3CDTF">2026-02-20T08:47:32Z</dcterms:modified>
</cp:coreProperties>
</file>